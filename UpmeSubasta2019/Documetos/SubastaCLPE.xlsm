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rightside\python\subastaCLPE_3.3\"/>
    </mc:Choice>
  </mc:AlternateContent>
  <xr:revisionPtr revIDLastSave="0" documentId="13_ncr:1_{A60337B3-2E09-4F42-A781-8E15B1B7F2D6}" xr6:coauthVersionLast="43" xr6:coauthVersionMax="43" xr10:uidLastSave="{00000000-0000-0000-0000-000000000000}"/>
  <bookViews>
    <workbookView xWindow="-120" yWindow="-120" windowWidth="29040" windowHeight="15840" activeTab="4" xr2:uid="{00000000-000D-0000-FFFF-FFFF00000000}"/>
  </bookViews>
  <sheets>
    <sheet name="bloques" sheetId="4" r:id="rId1"/>
    <sheet name="proyectosGeneracion" sheetId="7" r:id="rId2"/>
    <sheet name="ofertasCompra" sheetId="1" r:id="rId3"/>
    <sheet name="ofertasVenta" sheetId="2" r:id="rId4"/>
    <sheet name="EJECUTAR" sheetId="6" r:id="rId5"/>
  </sheets>
  <functionGroups builtInGroupCount="19"/>
  <definedNames>
    <definedName name="_xlnm._FilterDatabase" localSheetId="2" hidden="1">ofertasCompra!$A$1:$D$4</definedName>
    <definedName name="_xlnm._FilterDatabase" localSheetId="3" hidden="1">ofertasVenta!$A$1:$F$1</definedName>
    <definedName name="_xlnm._FilterDatabase" localSheetId="1" hidden="1">proyectosGeneracion!$A$1:$B$1</definedName>
    <definedName name="e" localSheetId="1">F24C10</definedName>
    <definedName name="e">F24C10</definedName>
    <definedName name="eta" localSheetId="1">F24C10</definedName>
    <definedName name="eta">F24C10</definedName>
    <definedName name="etapas" localSheetId="1">F24C10</definedName>
    <definedName name="etapas">F24C10</definedName>
    <definedName name="etapasModelo" localSheetId="1">F24C10</definedName>
    <definedName name="etapasModelo">F24C10</definedName>
    <definedName name="modelo" localSheetId="1">F24C10</definedName>
    <definedName name="modelo">F24C10</definedName>
    <definedName name="modeloeta" localSheetId="1">F25C14</definedName>
    <definedName name="modeloeta">F25C14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5" i="1" l="1"/>
  <c r="M12" i="2"/>
  <c r="O12" i="2"/>
  <c r="L12" i="2"/>
  <c r="N12" i="2"/>
  <c r="M11" i="2"/>
  <c r="O11" i="2"/>
  <c r="L11" i="2"/>
  <c r="N11" i="2"/>
  <c r="M10" i="2"/>
  <c r="O10" i="2"/>
  <c r="L10" i="2"/>
  <c r="N10" i="2"/>
  <c r="M9" i="2"/>
  <c r="O9" i="2"/>
  <c r="L9" i="2"/>
  <c r="N9" i="2"/>
  <c r="M8" i="2"/>
  <c r="O8" i="2"/>
  <c r="L8" i="2"/>
  <c r="N8" i="2"/>
  <c r="M7" i="2"/>
  <c r="O7" i="2"/>
  <c r="L7" i="2"/>
  <c r="N7" i="2"/>
  <c r="E6" i="7"/>
  <c r="E5" i="7"/>
  <c r="E3" i="7"/>
  <c r="E4" i="7"/>
  <c r="E2" i="7"/>
  <c r="L5" i="2"/>
  <c r="N5" i="2"/>
  <c r="L6" i="2"/>
  <c r="N6" i="2"/>
  <c r="L3" i="2"/>
  <c r="N3" i="2"/>
  <c r="L4" i="2"/>
  <c r="N4" i="2"/>
  <c r="F3" i="1"/>
  <c r="F4" i="1"/>
  <c r="F2" i="1"/>
  <c r="M3" i="2"/>
  <c r="O3" i="2"/>
  <c r="M4" i="2"/>
  <c r="O4" i="2"/>
  <c r="M5" i="2"/>
  <c r="O5" i="2"/>
  <c r="M6" i="2"/>
  <c r="O6" i="2"/>
  <c r="M2" i="2"/>
  <c r="O2" i="2"/>
  <c r="L2" i="2"/>
  <c r="N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RIGHTSIDE SAS</author>
  </authors>
  <commentList>
    <comment ref="B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capacidad efectiva en MW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RIGHTSIDE SAS</author>
  </authors>
  <commentList>
    <comment ref="C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Energía diaria en MWh-dia</t>
        </r>
      </text>
    </comment>
    <comment ref="D1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Precio en $/kWh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RIGHTSIDE SAS</author>
  </authors>
  <commentList>
    <comment ref="D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Número de paquetes máximo. Cada paquete equivale a 500 kWh</t>
        </r>
      </text>
    </comment>
    <comment ref="F1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Precio en $/kWh</t>
        </r>
      </text>
    </comment>
  </commentList>
</comments>
</file>

<file path=xl/sharedStrings.xml><?xml version="1.0" encoding="utf-8"?>
<sst xmlns="http://schemas.openxmlformats.org/spreadsheetml/2006/main" count="89" uniqueCount="61">
  <si>
    <t>nombre</t>
  </si>
  <si>
    <t>bloque</t>
  </si>
  <si>
    <t>precio</t>
  </si>
  <si>
    <t>B1</t>
  </si>
  <si>
    <t>B2</t>
  </si>
  <si>
    <t>B3</t>
  </si>
  <si>
    <t>numPaquetesMax</t>
  </si>
  <si>
    <t>numPaquetesMin</t>
  </si>
  <si>
    <t>ID_oferta</t>
  </si>
  <si>
    <t>bloques</t>
  </si>
  <si>
    <t>pi</t>
  </si>
  <si>
    <t>pf</t>
  </si>
  <si>
    <t>TAMAÑO PAQUETE en MWh</t>
  </si>
  <si>
    <t>OPTIMIZADOR</t>
  </si>
  <si>
    <t>cplex</t>
  </si>
  <si>
    <t>gurobi</t>
  </si>
  <si>
    <t>mosek</t>
  </si>
  <si>
    <t>glpk</t>
  </si>
  <si>
    <t>cbc</t>
  </si>
  <si>
    <t>optimizadores</t>
  </si>
  <si>
    <t>excluyente</t>
  </si>
  <si>
    <t>dependiente</t>
  </si>
  <si>
    <t>C001</t>
  </si>
  <si>
    <t>energiaMax</t>
  </si>
  <si>
    <t>simultanea</t>
  </si>
  <si>
    <t>capacidadMaxima</t>
  </si>
  <si>
    <t>obligatorio</t>
  </si>
  <si>
    <t>SOLAR 1</t>
  </si>
  <si>
    <t>SOLAR 2</t>
  </si>
  <si>
    <t>EOLICO 1</t>
  </si>
  <si>
    <t>COMERCIALIZADOR 1</t>
  </si>
  <si>
    <t>COMERCIALIZADOR 2</t>
  </si>
  <si>
    <t>COMERCIALIZADOR 3</t>
  </si>
  <si>
    <t>C002</t>
  </si>
  <si>
    <t>C003</t>
  </si>
  <si>
    <t>V101</t>
  </si>
  <si>
    <t>V202</t>
  </si>
  <si>
    <t>V303</t>
  </si>
  <si>
    <t>V207</t>
  </si>
  <si>
    <t>V208</t>
  </si>
  <si>
    <t>ordenLlegada</t>
  </si>
  <si>
    <t>empresa</t>
  </si>
  <si>
    <t>EMPRESA1</t>
  </si>
  <si>
    <t>EMPRESA2</t>
  </si>
  <si>
    <t>EMPRESA3</t>
  </si>
  <si>
    <t>MODELO  DE SUBASTAS DE CLPE - COLOMBIA</t>
  </si>
  <si>
    <t>factorPlanta</t>
  </si>
  <si>
    <t>PRECIO TOPE $/kWh</t>
  </si>
  <si>
    <t>DEMANDA OBJETIVO MWh-dia</t>
  </si>
  <si>
    <t>EMPRESA4</t>
  </si>
  <si>
    <t>EOLICO 4</t>
  </si>
  <si>
    <t>EOLICO 5</t>
  </si>
  <si>
    <t>EMPRESA5</t>
  </si>
  <si>
    <t>V041</t>
  </si>
  <si>
    <t>V042</t>
  </si>
  <si>
    <t>V043</t>
  </si>
  <si>
    <t>V051</t>
  </si>
  <si>
    <t>V052</t>
  </si>
  <si>
    <t>V053</t>
  </si>
  <si>
    <t>COMERCIALIZADOR 4</t>
  </si>
  <si>
    <t>C004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</si>
</sst>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_);_(* \(#,##0\);_(* &quot;-&quot;_);_(@_)"/>
    <numFmt numFmtId="165" formatCode="_-* #,##0.00_-;\-* #,##0.00_-;_-* &quot;-&quot;_-;_-@_-"/>
  </numFmts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11"/>
      <color rgb="FF9C65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EB9C"/>
      </patternFill>
    </fill>
    <fill>
      <patternFill patternType="solid">
        <fgColor theme="5"/>
        <bgColor theme="1"/>
      </patternFill>
    </fill>
  </fills>
  <borders count="10">
    <border>
      <left/>
      <right/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/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  <border>
      <left style="thin">
        <color theme="6" tint="0.39997558519241921"/>
      </left>
      <right/>
      <top style="thin">
        <color theme="6" tint="0.39997558519241921"/>
      </top>
      <bottom/>
      <diagonal/>
    </border>
    <border>
      <left/>
      <right/>
      <top style="thin">
        <color theme="6" tint="0.39997558519241921"/>
      </top>
      <bottom/>
      <diagonal/>
    </border>
    <border>
      <left/>
      <right style="thin">
        <color theme="6" tint="0.39997558519241921"/>
      </right>
      <top style="thin">
        <color theme="6" tint="0.39997558519241921"/>
      </top>
      <bottom/>
      <diagonal/>
    </border>
  </borders>
  <cellStyleXfs count="3">
    <xf numFmtId="0" fontId="0" fillId="0" borderId="0"/>
    <xf numFmtId="164" fontId="7" fillId="0" borderId="0" applyFont="0" applyFill="0" applyBorder="0" applyAlignment="0" applyProtection="0"/>
    <xf numFmtId="0" fontId="10" fillId="8" borderId="0" applyNumberFormat="0" applyBorder="0" applyAlignment="0" applyProtection="0"/>
  </cellStyleXfs>
  <cellXfs count="32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4" borderId="4" xfId="0" applyFont="1" applyFill="1" applyBorder="1"/>
    <xf numFmtId="0" fontId="0" fillId="4" borderId="5" xfId="0" applyFont="1" applyFill="1" applyBorder="1"/>
    <xf numFmtId="0" fontId="0" fillId="4" borderId="6" xfId="0" applyFont="1" applyFill="1" applyBorder="1"/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0" fillId="4" borderId="7" xfId="0" applyFont="1" applyFill="1" applyBorder="1"/>
    <xf numFmtId="0" fontId="0" fillId="4" borderId="8" xfId="0" applyFont="1" applyFill="1" applyBorder="1"/>
    <xf numFmtId="0" fontId="0" fillId="4" borderId="9" xfId="0" applyFont="1" applyFill="1" applyBorder="1"/>
    <xf numFmtId="0" fontId="0" fillId="0" borderId="7" xfId="0" applyFont="1" applyBorder="1"/>
    <xf numFmtId="0" fontId="0" fillId="0" borderId="8" xfId="0" applyFont="1" applyBorder="1"/>
    <xf numFmtId="0" fontId="0" fillId="0" borderId="9" xfId="0" applyFont="1" applyBorder="1"/>
    <xf numFmtId="0" fontId="0" fillId="0" borderId="0" xfId="0" applyFill="1"/>
    <xf numFmtId="0" fontId="5" fillId="0" borderId="0" xfId="0" applyFont="1"/>
    <xf numFmtId="0" fontId="0" fillId="0" borderId="0" xfId="0" applyFill="1" applyAlignment="1">
      <alignment horizontal="center" vertical="center"/>
    </xf>
    <xf numFmtId="0" fontId="4" fillId="5" borderId="0" xfId="0" applyFont="1" applyFill="1" applyAlignment="1"/>
    <xf numFmtId="0" fontId="1" fillId="6" borderId="0" xfId="0" applyFont="1" applyFill="1" applyAlignment="1" applyProtection="1">
      <alignment horizontal="center" vertical="center"/>
      <protection locked="0"/>
    </xf>
    <xf numFmtId="165" fontId="0" fillId="0" borderId="0" xfId="1" applyNumberFormat="1" applyFont="1" applyFill="1" applyProtection="1">
      <protection locked="0"/>
    </xf>
    <xf numFmtId="0" fontId="0" fillId="0" borderId="0" xfId="0"/>
    <xf numFmtId="0" fontId="0" fillId="0" borderId="0" xfId="0" applyFill="1"/>
    <xf numFmtId="164" fontId="0" fillId="0" borderId="0" xfId="1" applyFont="1"/>
    <xf numFmtId="0" fontId="1" fillId="9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left"/>
    </xf>
    <xf numFmtId="0" fontId="1" fillId="7" borderId="0" xfId="0" applyFont="1" applyFill="1" applyAlignment="1">
      <alignment horizontal="center"/>
    </xf>
    <xf numFmtId="164" fontId="1" fillId="6" borderId="0" xfId="1" applyFont="1" applyFill="1" applyAlignment="1" applyProtection="1">
      <alignment horizontal="center" vertical="center" wrapText="1"/>
      <protection locked="0"/>
    </xf>
  </cellXfs>
  <cellStyles count="3">
    <cellStyle name="Millares [0]" xfId="1" builtinId="6"/>
    <cellStyle name="Neutral 2" xfId="2" xr:uid="{00000000-0005-0000-0000-000001000000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checked="Checked" firstButton="1" fmlaLink="$M$17" lockText="1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Radio" firstButton="1" fmlaLink="G23" lockText="1" noThreeD="1"/>
</file>

<file path=xl/ctrlProps/ctrlProp7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13</xdr:row>
          <xdr:rowOff>19050</xdr:rowOff>
        </xdr:from>
        <xdr:to>
          <xdr:col>9</xdr:col>
          <xdr:colOff>295275</xdr:colOff>
          <xdr:row>16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EJECUTAR SUBASTA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523875</xdr:colOff>
          <xdr:row>14</xdr:row>
          <xdr:rowOff>38100</xdr:rowOff>
        </xdr:from>
        <xdr:to>
          <xdr:col>12</xdr:col>
          <xdr:colOff>123825</xdr:colOff>
          <xdr:row>16</xdr:row>
          <xdr:rowOff>38100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Maximixar Beneficio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295275</xdr:colOff>
          <xdr:row>13</xdr:row>
          <xdr:rowOff>104775</xdr:rowOff>
        </xdr:from>
        <xdr:to>
          <xdr:col>13</xdr:col>
          <xdr:colOff>47625</xdr:colOff>
          <xdr:row>18</xdr:row>
          <xdr:rowOff>47625</xdr:rowOff>
        </xdr:to>
        <xdr:sp macro="" textlink="">
          <xdr:nvSpPr>
            <xdr:cNvPr id="1032" name="Group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4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FUNCIÓN OBJETIVO</a:t>
              </a:r>
            </a:p>
          </xdr:txBody>
        </xdr:sp>
        <xdr:clientData/>
      </xdr:twoCellAnchor>
    </mc:Choice>
    <mc:Fallback/>
  </mc:AlternateContent>
  <xdr:twoCellAnchor editAs="oneCell">
    <xdr:from>
      <xdr:col>11</xdr:col>
      <xdr:colOff>885825</xdr:colOff>
      <xdr:row>27</xdr:row>
      <xdr:rowOff>114300</xdr:rowOff>
    </xdr:from>
    <xdr:to>
      <xdr:col>14</xdr:col>
      <xdr:colOff>609600</xdr:colOff>
      <xdr:row>29</xdr:row>
      <xdr:rowOff>171450</xdr:rowOff>
    </xdr:to>
    <xdr:pic>
      <xdr:nvPicPr>
        <xdr:cNvPr id="5" name="Imagen 4" descr="Hoja membrete-01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92" t="4741" r="48607" b="88074"/>
        <a:stretch>
          <a:fillRect/>
        </a:stretch>
      </xdr:blipFill>
      <xdr:spPr bwMode="auto">
        <a:xfrm>
          <a:off x="8048625" y="5257800"/>
          <a:ext cx="2080260" cy="438150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657225</xdr:colOff>
      <xdr:row>27</xdr:row>
      <xdr:rowOff>85725</xdr:rowOff>
    </xdr:from>
    <xdr:to>
      <xdr:col>4</xdr:col>
      <xdr:colOff>47625</xdr:colOff>
      <xdr:row>30</xdr:row>
      <xdr:rowOff>66675</xdr:rowOff>
    </xdr:to>
    <xdr:pic>
      <xdr:nvPicPr>
        <xdr:cNvPr id="6" name="Imagen 5" descr="Logo UPME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9225" y="5229225"/>
          <a:ext cx="1581150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647700</xdr:colOff>
      <xdr:row>26</xdr:row>
      <xdr:rowOff>104775</xdr:rowOff>
    </xdr:from>
    <xdr:to>
      <xdr:col>10</xdr:col>
      <xdr:colOff>532893</xdr:colOff>
      <xdr:row>31</xdr:row>
      <xdr:rowOff>522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57625" y="5057775"/>
          <a:ext cx="3076068" cy="8520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514350</xdr:colOff>
          <xdr:row>16</xdr:row>
          <xdr:rowOff>28575</xdr:rowOff>
        </xdr:from>
        <xdr:to>
          <xdr:col>11</xdr:col>
          <xdr:colOff>942975</xdr:colOff>
          <xdr:row>17</xdr:row>
          <xdr:rowOff>47625</xdr:rowOff>
        </xdr:to>
        <xdr:sp macro="" textlink="">
          <xdr:nvSpPr>
            <xdr:cNvPr id="1034" name="Option 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4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Maximizar Asignación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18</xdr:row>
          <xdr:rowOff>57150</xdr:rowOff>
        </xdr:from>
        <xdr:to>
          <xdr:col>9</xdr:col>
          <xdr:colOff>742950</xdr:colOff>
          <xdr:row>23</xdr:row>
          <xdr:rowOff>38100</xdr:rowOff>
        </xdr:to>
        <xdr:sp macro="" textlink="">
          <xdr:nvSpPr>
            <xdr:cNvPr id="1037" name="Group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4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RESTRICCIÓN ASIGNACIÓN COMPRA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352425</xdr:colOff>
          <xdr:row>19</xdr:row>
          <xdr:rowOff>85725</xdr:rowOff>
        </xdr:from>
        <xdr:to>
          <xdr:col>9</xdr:col>
          <xdr:colOff>600075</xdr:colOff>
          <xdr:row>20</xdr:row>
          <xdr:rowOff>133350</xdr:rowOff>
        </xdr:to>
        <xdr:sp macro="" textlink="">
          <xdr:nvSpPr>
            <xdr:cNvPr id="1038" name="Option 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4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Precio ponderado Asignación Dia &lt;= Precio compra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352425</xdr:colOff>
          <xdr:row>21</xdr:row>
          <xdr:rowOff>9525</xdr:rowOff>
        </xdr:from>
        <xdr:to>
          <xdr:col>9</xdr:col>
          <xdr:colOff>142875</xdr:colOff>
          <xdr:row>22</xdr:row>
          <xdr:rowOff>47625</xdr:rowOff>
        </xdr:to>
        <xdr:sp macro="" textlink="">
          <xdr:nvSpPr>
            <xdr:cNvPr id="1039" name="Option 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4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Precio de compra &gt;= Precio de venta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4"/>
  <sheetViews>
    <sheetView zoomScale="160" zoomScaleNormal="160" workbookViewId="0">
      <selection activeCell="C13" sqref="C13"/>
    </sheetView>
  </sheetViews>
  <sheetFormatPr baseColWidth="10" defaultRowHeight="15" x14ac:dyDescent="0.25"/>
  <cols>
    <col min="4" max="4" width="11.42578125" customWidth="1"/>
  </cols>
  <sheetData>
    <row r="1" spans="1:4" x14ac:dyDescent="0.25">
      <c r="A1" s="9" t="s">
        <v>9</v>
      </c>
      <c r="B1" s="10" t="s">
        <v>10</v>
      </c>
      <c r="C1" s="11" t="s">
        <v>11</v>
      </c>
    </row>
    <row r="2" spans="1:4" x14ac:dyDescent="0.25">
      <c r="A2" s="12" t="s">
        <v>3</v>
      </c>
      <c r="B2" s="13">
        <v>1</v>
      </c>
      <c r="C2" s="14">
        <v>7</v>
      </c>
    </row>
    <row r="3" spans="1:4" x14ac:dyDescent="0.25">
      <c r="A3" s="15" t="s">
        <v>4</v>
      </c>
      <c r="B3" s="16">
        <v>8</v>
      </c>
      <c r="C3" s="17">
        <v>17</v>
      </c>
      <c r="D3" s="4"/>
    </row>
    <row r="4" spans="1:4" x14ac:dyDescent="0.25">
      <c r="A4" s="6" t="s">
        <v>5</v>
      </c>
      <c r="B4" s="7">
        <v>18</v>
      </c>
      <c r="C4" s="8">
        <v>24</v>
      </c>
      <c r="D4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6"/>
  <dimension ref="A1:E6"/>
  <sheetViews>
    <sheetView zoomScale="130" zoomScaleNormal="130" workbookViewId="0">
      <selection activeCell="E2" sqref="E2"/>
    </sheetView>
  </sheetViews>
  <sheetFormatPr baseColWidth="10" defaultColWidth="11.42578125" defaultRowHeight="15" x14ac:dyDescent="0.25"/>
  <cols>
    <col min="1" max="1" width="39.42578125" style="4" customWidth="1"/>
    <col min="2" max="2" width="23.140625" style="4" customWidth="1"/>
    <col min="3" max="3" width="23.140625" style="24" customWidth="1"/>
    <col min="4" max="4" width="18" style="4" customWidth="1"/>
    <col min="5" max="16384" width="11.42578125" style="4"/>
  </cols>
  <sheetData>
    <row r="1" spans="1:5" x14ac:dyDescent="0.25">
      <c r="A1" s="5" t="s">
        <v>0</v>
      </c>
      <c r="B1" s="5" t="s">
        <v>25</v>
      </c>
      <c r="C1" s="5" t="s">
        <v>46</v>
      </c>
      <c r="D1" s="5" t="s">
        <v>41</v>
      </c>
    </row>
    <row r="2" spans="1:5" x14ac:dyDescent="0.25">
      <c r="A2" s="25" t="s">
        <v>29</v>
      </c>
      <c r="B2" s="4">
        <v>500</v>
      </c>
      <c r="C2" s="24">
        <v>0.56999999999999995</v>
      </c>
      <c r="D2" s="24" t="s">
        <v>42</v>
      </c>
      <c r="E2" s="24">
        <f>+B2*24*1000*C2</f>
        <v>6839999.9999999991</v>
      </c>
    </row>
    <row r="3" spans="1:5" x14ac:dyDescent="0.25">
      <c r="A3" s="25" t="s">
        <v>27</v>
      </c>
      <c r="B3" s="4">
        <v>100</v>
      </c>
      <c r="C3" s="24">
        <v>0.26</v>
      </c>
      <c r="D3" s="24" t="s">
        <v>43</v>
      </c>
      <c r="E3" s="24">
        <f t="shared" ref="E3:E4" si="0">+B3*24*1000*C3</f>
        <v>624000</v>
      </c>
    </row>
    <row r="4" spans="1:5" x14ac:dyDescent="0.25">
      <c r="A4" s="24" t="s">
        <v>28</v>
      </c>
      <c r="B4" s="4">
        <v>100</v>
      </c>
      <c r="C4" s="24">
        <v>0.26</v>
      </c>
      <c r="D4" s="24" t="s">
        <v>44</v>
      </c>
      <c r="E4" s="24">
        <f t="shared" si="0"/>
        <v>624000</v>
      </c>
    </row>
    <row r="5" spans="1:5" x14ac:dyDescent="0.25">
      <c r="A5" s="25" t="s">
        <v>50</v>
      </c>
      <c r="B5" s="24">
        <v>500</v>
      </c>
      <c r="C5" s="24">
        <v>0.56999999999999995</v>
      </c>
      <c r="D5" s="24" t="s">
        <v>49</v>
      </c>
      <c r="E5" s="24">
        <f>+B5*24*1000*C5</f>
        <v>6839999.9999999991</v>
      </c>
    </row>
    <row r="6" spans="1:5" x14ac:dyDescent="0.25">
      <c r="A6" s="25" t="s">
        <v>51</v>
      </c>
      <c r="B6" s="24">
        <v>500</v>
      </c>
      <c r="C6" s="24">
        <v>0.56999999999999995</v>
      </c>
      <c r="D6" s="24" t="s">
        <v>52</v>
      </c>
      <c r="E6" s="24">
        <f>+B6*24*1000*C6</f>
        <v>6839999.9999999991</v>
      </c>
    </row>
  </sheetData>
  <phoneticPr fontId="8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F5"/>
  <sheetViews>
    <sheetView topLeftCell="B1" zoomScale="130" zoomScaleNormal="130" workbookViewId="0">
      <selection activeCell="G17" sqref="G17"/>
    </sheetView>
  </sheetViews>
  <sheetFormatPr baseColWidth="10" defaultRowHeight="15" x14ac:dyDescent="0.25"/>
  <cols>
    <col min="1" max="1" width="44.7109375" style="4" customWidth="1"/>
    <col min="2" max="2" width="21" style="4" customWidth="1"/>
    <col min="3" max="3" width="21.28515625" style="4" customWidth="1"/>
    <col min="4" max="4" width="15.7109375" customWidth="1"/>
    <col min="5" max="5" width="15.140625" customWidth="1"/>
    <col min="6" max="6" width="15.42578125" customWidth="1"/>
  </cols>
  <sheetData>
    <row r="1" spans="1:6" x14ac:dyDescent="0.25">
      <c r="A1" s="1" t="s">
        <v>0</v>
      </c>
      <c r="B1" s="5" t="s">
        <v>8</v>
      </c>
      <c r="C1" s="2" t="s">
        <v>23</v>
      </c>
      <c r="D1" s="3" t="s">
        <v>2</v>
      </c>
      <c r="E1" s="3" t="s">
        <v>40</v>
      </c>
    </row>
    <row r="2" spans="1:6" x14ac:dyDescent="0.25">
      <c r="A2" s="18" t="s">
        <v>30</v>
      </c>
      <c r="B2" s="18" t="s">
        <v>22</v>
      </c>
      <c r="C2" s="24">
        <v>2000</v>
      </c>
      <c r="D2" s="23">
        <v>200</v>
      </c>
      <c r="E2">
        <v>2</v>
      </c>
      <c r="F2" s="26">
        <f>+C2*1000</f>
        <v>2000000</v>
      </c>
    </row>
    <row r="3" spans="1:6" x14ac:dyDescent="0.25">
      <c r="A3" s="25" t="s">
        <v>31</v>
      </c>
      <c r="B3" s="25" t="s">
        <v>33</v>
      </c>
      <c r="C3" s="24">
        <v>3000</v>
      </c>
      <c r="D3" s="23">
        <v>180</v>
      </c>
      <c r="E3">
        <v>1</v>
      </c>
      <c r="F3" s="26">
        <f t="shared" ref="F3:F4" si="0">+C3*1000</f>
        <v>3000000</v>
      </c>
    </row>
    <row r="4" spans="1:6" x14ac:dyDescent="0.25">
      <c r="A4" s="25" t="s">
        <v>32</v>
      </c>
      <c r="B4" s="25" t="s">
        <v>34</v>
      </c>
      <c r="C4" s="24">
        <v>3000</v>
      </c>
      <c r="D4" s="23">
        <v>160</v>
      </c>
      <c r="E4">
        <v>3</v>
      </c>
      <c r="F4" s="26">
        <f t="shared" si="0"/>
        <v>3000000</v>
      </c>
    </row>
    <row r="5" spans="1:6" s="24" customFormat="1" x14ac:dyDescent="0.25">
      <c r="A5" s="25" t="s">
        <v>59</v>
      </c>
      <c r="B5" s="25" t="s">
        <v>60</v>
      </c>
      <c r="C5" s="24">
        <v>3000</v>
      </c>
      <c r="D5" s="23">
        <v>170</v>
      </c>
      <c r="E5" s="24">
        <v>4</v>
      </c>
      <c r="F5" s="26">
        <f t="shared" ref="F5" si="1">+C5*1000</f>
        <v>3000000</v>
      </c>
    </row>
  </sheetData>
  <sortState xmlns:xlrd2="http://schemas.microsoft.com/office/spreadsheetml/2017/richdata2" ref="A2:D4">
    <sortCondition descending="1" ref="D2:D4"/>
  </sortState>
  <phoneticPr fontId="8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O12"/>
  <sheetViews>
    <sheetView zoomScale="80" zoomScaleNormal="80" workbookViewId="0">
      <selection activeCell="L21" sqref="L21"/>
    </sheetView>
  </sheetViews>
  <sheetFormatPr baseColWidth="10" defaultRowHeight="15" x14ac:dyDescent="0.25"/>
  <cols>
    <col min="1" max="1" width="14.5703125" style="4" customWidth="1"/>
    <col min="2" max="2" width="16.140625" style="4" customWidth="1"/>
    <col min="3" max="3" width="16.7109375" style="4" customWidth="1"/>
    <col min="4" max="4" width="11.5703125" style="4" customWidth="1"/>
    <col min="5" max="5" width="14.42578125" style="4" customWidth="1"/>
    <col min="7" max="7" width="18.28515625" style="4" customWidth="1"/>
    <col min="8" max="8" width="12.28515625" customWidth="1"/>
    <col min="9" max="9" width="14.42578125" customWidth="1"/>
    <col min="10" max="10" width="16.28515625" style="24" customWidth="1"/>
  </cols>
  <sheetData>
    <row r="1" spans="1:15" x14ac:dyDescent="0.25">
      <c r="A1" s="5" t="s">
        <v>0</v>
      </c>
      <c r="B1" s="5" t="s">
        <v>8</v>
      </c>
      <c r="C1" s="5" t="s">
        <v>1</v>
      </c>
      <c r="D1" s="5" t="s">
        <v>6</v>
      </c>
      <c r="E1" s="5" t="s">
        <v>7</v>
      </c>
      <c r="F1" s="5" t="s">
        <v>2</v>
      </c>
      <c r="G1" s="5" t="s">
        <v>24</v>
      </c>
      <c r="H1" s="5" t="s">
        <v>20</v>
      </c>
      <c r="I1" s="5" t="s">
        <v>21</v>
      </c>
      <c r="J1" s="5" t="s">
        <v>40</v>
      </c>
      <c r="K1" s="27" t="s">
        <v>26</v>
      </c>
    </row>
    <row r="2" spans="1:15" x14ac:dyDescent="0.25">
      <c r="A2" s="25" t="s">
        <v>29</v>
      </c>
      <c r="B2" s="18" t="s">
        <v>35</v>
      </c>
      <c r="C2" s="20" t="s">
        <v>3</v>
      </c>
      <c r="D2" s="25">
        <v>140</v>
      </c>
      <c r="E2" s="25">
        <v>140</v>
      </c>
      <c r="F2" s="18">
        <v>130</v>
      </c>
      <c r="G2" s="18"/>
      <c r="H2" s="25"/>
      <c r="I2" s="25"/>
      <c r="J2" s="25">
        <v>1</v>
      </c>
      <c r="K2">
        <v>0</v>
      </c>
      <c r="L2" s="26">
        <f>+D2/2*1000</f>
        <v>70000</v>
      </c>
      <c r="M2" s="26">
        <f>+E2/2*1000</f>
        <v>70000</v>
      </c>
      <c r="N2" s="26">
        <f>+L2*7</f>
        <v>490000</v>
      </c>
      <c r="O2" s="26">
        <f>+M2*7</f>
        <v>490000</v>
      </c>
    </row>
    <row r="3" spans="1:15" x14ac:dyDescent="0.25">
      <c r="A3" s="25" t="s">
        <v>29</v>
      </c>
      <c r="B3" s="25" t="s">
        <v>36</v>
      </c>
      <c r="C3" s="20" t="s">
        <v>4</v>
      </c>
      <c r="D3" s="25">
        <v>200</v>
      </c>
      <c r="E3" s="25">
        <v>200</v>
      </c>
      <c r="F3" s="18">
        <v>110</v>
      </c>
      <c r="G3" s="25"/>
      <c r="H3" s="25"/>
      <c r="I3" s="25"/>
      <c r="J3" s="25">
        <v>2</v>
      </c>
      <c r="K3" s="24">
        <v>0</v>
      </c>
      <c r="L3" s="26">
        <f t="shared" ref="L3:L6" si="0">+D3/2*1000</f>
        <v>100000</v>
      </c>
      <c r="M3" s="26">
        <f t="shared" ref="M3:M6" si="1">+E3/2*1000</f>
        <v>100000</v>
      </c>
      <c r="N3" s="26">
        <f>+L3*10</f>
        <v>1000000</v>
      </c>
      <c r="O3" s="26">
        <f>+M3*10</f>
        <v>1000000</v>
      </c>
    </row>
    <row r="4" spans="1:15" x14ac:dyDescent="0.25">
      <c r="A4" s="25" t="s">
        <v>29</v>
      </c>
      <c r="B4" s="25" t="s">
        <v>37</v>
      </c>
      <c r="C4" s="20" t="s">
        <v>5</v>
      </c>
      <c r="D4" s="25">
        <v>140</v>
      </c>
      <c r="E4" s="25">
        <v>140</v>
      </c>
      <c r="F4" s="18">
        <v>120</v>
      </c>
      <c r="G4" s="25"/>
      <c r="H4" s="25"/>
      <c r="I4" s="25"/>
      <c r="J4" s="25">
        <v>3</v>
      </c>
      <c r="K4" s="24">
        <v>0</v>
      </c>
      <c r="L4" s="26">
        <f t="shared" si="0"/>
        <v>70000</v>
      </c>
      <c r="M4" s="26">
        <f t="shared" si="1"/>
        <v>70000</v>
      </c>
      <c r="N4" s="26">
        <f t="shared" ref="N4" si="2">+L4*7</f>
        <v>490000</v>
      </c>
      <c r="O4" s="26">
        <f t="shared" ref="O4" si="3">+M4*7</f>
        <v>490000</v>
      </c>
    </row>
    <row r="5" spans="1:15" x14ac:dyDescent="0.25">
      <c r="A5" s="25" t="s">
        <v>27</v>
      </c>
      <c r="B5" s="25" t="s">
        <v>38</v>
      </c>
      <c r="C5" s="20" t="s">
        <v>4</v>
      </c>
      <c r="D5" s="25">
        <v>80</v>
      </c>
      <c r="E5" s="25">
        <v>80</v>
      </c>
      <c r="F5" s="18">
        <v>180</v>
      </c>
      <c r="G5" s="25"/>
      <c r="H5" s="20"/>
      <c r="I5" s="25"/>
      <c r="J5" s="25">
        <v>7</v>
      </c>
      <c r="K5" s="24">
        <v>0</v>
      </c>
      <c r="L5" s="26">
        <f t="shared" si="0"/>
        <v>40000</v>
      </c>
      <c r="M5" s="26">
        <f t="shared" si="1"/>
        <v>40000</v>
      </c>
      <c r="N5" s="26">
        <f>+L5*10</f>
        <v>400000</v>
      </c>
      <c r="O5" s="26">
        <f>+M5*10</f>
        <v>400000</v>
      </c>
    </row>
    <row r="6" spans="1:15" x14ac:dyDescent="0.25">
      <c r="A6" s="24" t="s">
        <v>28</v>
      </c>
      <c r="B6" s="25" t="s">
        <v>39</v>
      </c>
      <c r="C6" s="20" t="s">
        <v>4</v>
      </c>
      <c r="D6" s="25">
        <v>80</v>
      </c>
      <c r="E6" s="25">
        <v>80</v>
      </c>
      <c r="F6" s="25">
        <v>180</v>
      </c>
      <c r="G6" s="25"/>
      <c r="H6" s="20"/>
      <c r="I6" s="25"/>
      <c r="J6" s="25">
        <v>8</v>
      </c>
      <c r="K6" s="24">
        <v>0</v>
      </c>
      <c r="L6" s="26">
        <f t="shared" si="0"/>
        <v>40000</v>
      </c>
      <c r="M6" s="26">
        <f t="shared" si="1"/>
        <v>40000</v>
      </c>
      <c r="N6" s="26">
        <f>+L6*10</f>
        <v>400000</v>
      </c>
      <c r="O6" s="26">
        <f>+M6*10</f>
        <v>400000</v>
      </c>
    </row>
    <row r="7" spans="1:15" s="24" customFormat="1" x14ac:dyDescent="0.25">
      <c r="A7" s="25" t="s">
        <v>50</v>
      </c>
      <c r="B7" s="25" t="s">
        <v>53</v>
      </c>
      <c r="C7" s="20" t="s">
        <v>3</v>
      </c>
      <c r="D7" s="25">
        <v>140</v>
      </c>
      <c r="E7" s="25">
        <v>140</v>
      </c>
      <c r="F7" s="25">
        <v>130</v>
      </c>
      <c r="G7" s="25"/>
      <c r="H7" s="25"/>
      <c r="I7" s="25"/>
      <c r="J7" s="25">
        <v>9</v>
      </c>
      <c r="K7" s="24">
        <v>0</v>
      </c>
      <c r="L7" s="26">
        <f>+D7/2*1000</f>
        <v>70000</v>
      </c>
      <c r="M7" s="26">
        <f>+E7/2*1000</f>
        <v>70000</v>
      </c>
      <c r="N7" s="26">
        <f>+L7*7</f>
        <v>490000</v>
      </c>
      <c r="O7" s="26">
        <f>+M7*7</f>
        <v>490000</v>
      </c>
    </row>
    <row r="8" spans="1:15" s="24" customFormat="1" x14ac:dyDescent="0.25">
      <c r="A8" s="25" t="s">
        <v>50</v>
      </c>
      <c r="B8" s="25" t="s">
        <v>54</v>
      </c>
      <c r="C8" s="20" t="s">
        <v>4</v>
      </c>
      <c r="D8" s="25">
        <v>200</v>
      </c>
      <c r="E8" s="25">
        <v>200</v>
      </c>
      <c r="F8" s="25">
        <v>180</v>
      </c>
      <c r="G8" s="25"/>
      <c r="H8" s="25"/>
      <c r="I8" s="25"/>
      <c r="J8" s="25">
        <v>10</v>
      </c>
      <c r="K8" s="24">
        <v>0</v>
      </c>
      <c r="L8" s="26">
        <f t="shared" ref="L8:L9" si="4">+D8/2*1000</f>
        <v>100000</v>
      </c>
      <c r="M8" s="26">
        <f t="shared" ref="M8:M9" si="5">+E8/2*1000</f>
        <v>100000</v>
      </c>
      <c r="N8" s="26">
        <f>+L8*10</f>
        <v>1000000</v>
      </c>
      <c r="O8" s="26">
        <f>+M8*10</f>
        <v>1000000</v>
      </c>
    </row>
    <row r="9" spans="1:15" s="24" customFormat="1" x14ac:dyDescent="0.25">
      <c r="A9" s="25" t="s">
        <v>50</v>
      </c>
      <c r="B9" s="25" t="s">
        <v>55</v>
      </c>
      <c r="C9" s="20" t="s">
        <v>5</v>
      </c>
      <c r="D9" s="25">
        <v>140</v>
      </c>
      <c r="E9" s="25">
        <v>140</v>
      </c>
      <c r="F9" s="25">
        <v>120</v>
      </c>
      <c r="G9" s="25"/>
      <c r="H9" s="25"/>
      <c r="I9" s="25"/>
      <c r="J9" s="25">
        <v>11</v>
      </c>
      <c r="K9" s="24">
        <v>0</v>
      </c>
      <c r="L9" s="26">
        <f t="shared" si="4"/>
        <v>70000</v>
      </c>
      <c r="M9" s="26">
        <f t="shared" si="5"/>
        <v>70000</v>
      </c>
      <c r="N9" s="26">
        <f t="shared" ref="N9" si="6">+L9*7</f>
        <v>490000</v>
      </c>
      <c r="O9" s="26">
        <f t="shared" ref="O9" si="7">+M9*7</f>
        <v>490000</v>
      </c>
    </row>
    <row r="10" spans="1:15" s="24" customFormat="1" x14ac:dyDescent="0.25">
      <c r="A10" s="25" t="s">
        <v>51</v>
      </c>
      <c r="B10" s="25" t="s">
        <v>56</v>
      </c>
      <c r="C10" s="20" t="s">
        <v>3</v>
      </c>
      <c r="D10" s="25">
        <v>140</v>
      </c>
      <c r="E10" s="25">
        <v>140</v>
      </c>
      <c r="F10" s="25">
        <v>130</v>
      </c>
      <c r="G10" s="25"/>
      <c r="H10" s="25"/>
      <c r="I10" s="25"/>
      <c r="J10" s="25">
        <v>12</v>
      </c>
      <c r="K10" s="24">
        <v>0</v>
      </c>
      <c r="L10" s="26">
        <f>+D10/2*1000</f>
        <v>70000</v>
      </c>
      <c r="M10" s="26">
        <f>+E10/2*1000</f>
        <v>70000</v>
      </c>
      <c r="N10" s="26">
        <f>+L10*7</f>
        <v>490000</v>
      </c>
      <c r="O10" s="26">
        <f>+M10*7</f>
        <v>490000</v>
      </c>
    </row>
    <row r="11" spans="1:15" s="24" customFormat="1" x14ac:dyDescent="0.25">
      <c r="A11" s="25" t="s">
        <v>51</v>
      </c>
      <c r="B11" s="25" t="s">
        <v>57</v>
      </c>
      <c r="C11" s="20" t="s">
        <v>4</v>
      </c>
      <c r="D11" s="25">
        <v>200</v>
      </c>
      <c r="E11" s="25">
        <v>200</v>
      </c>
      <c r="F11" s="25">
        <v>110</v>
      </c>
      <c r="G11" s="25"/>
      <c r="H11" s="25"/>
      <c r="I11" s="25"/>
      <c r="J11" s="25">
        <v>13</v>
      </c>
      <c r="K11" s="24">
        <v>0</v>
      </c>
      <c r="L11" s="26">
        <f t="shared" ref="L11:L12" si="8">+D11/2*1000</f>
        <v>100000</v>
      </c>
      <c r="M11" s="26">
        <f t="shared" ref="M11:M12" si="9">+E11/2*1000</f>
        <v>100000</v>
      </c>
      <c r="N11" s="26">
        <f>+L11*10</f>
        <v>1000000</v>
      </c>
      <c r="O11" s="26">
        <f>+M11*10</f>
        <v>1000000</v>
      </c>
    </row>
    <row r="12" spans="1:15" s="24" customFormat="1" x14ac:dyDescent="0.25">
      <c r="A12" s="25" t="s">
        <v>51</v>
      </c>
      <c r="B12" s="25" t="s">
        <v>58</v>
      </c>
      <c r="C12" s="20" t="s">
        <v>5</v>
      </c>
      <c r="D12" s="25">
        <v>140</v>
      </c>
      <c r="E12" s="25">
        <v>140</v>
      </c>
      <c r="F12" s="25">
        <v>120</v>
      </c>
      <c r="G12" s="25"/>
      <c r="H12" s="25"/>
      <c r="I12" s="25"/>
      <c r="J12" s="25">
        <v>14</v>
      </c>
      <c r="K12" s="24">
        <v>0</v>
      </c>
      <c r="L12" s="26">
        <f t="shared" si="8"/>
        <v>70000</v>
      </c>
      <c r="M12" s="26">
        <f t="shared" si="9"/>
        <v>70000</v>
      </c>
      <c r="N12" s="26">
        <f t="shared" ref="N12" si="10">+L12*7</f>
        <v>490000</v>
      </c>
      <c r="O12" s="26">
        <f t="shared" ref="O12" si="11">+M12*7</f>
        <v>490000</v>
      </c>
    </row>
  </sheetData>
  <autoFilter ref="A1:F1" xr:uid="{00000000-0009-0000-0000-000003000000}"/>
  <sortState xmlns:xlrd2="http://schemas.microsoft.com/office/spreadsheetml/2017/richdata2" ref="A2:F6">
    <sortCondition ref="F2:F6"/>
  </sortState>
  <phoneticPr fontId="8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theme="9"/>
  </sheetPr>
  <dimension ref="A5:U26"/>
  <sheetViews>
    <sheetView showGridLines="0" tabSelected="1" workbookViewId="0">
      <selection activeCell="P25" sqref="P25"/>
    </sheetView>
  </sheetViews>
  <sheetFormatPr baseColWidth="10" defaultRowHeight="15" x14ac:dyDescent="0.25"/>
  <cols>
    <col min="3" max="3" width="15.5703125" customWidth="1"/>
    <col min="4" max="4" width="5.85546875" customWidth="1"/>
    <col min="5" max="5" width="3.85546875" customWidth="1"/>
    <col min="7" max="7" width="15.140625" customWidth="1"/>
    <col min="8" max="8" width="2.85546875" customWidth="1"/>
    <col min="9" max="9" width="7" customWidth="1"/>
    <col min="12" max="12" width="18.42578125" customWidth="1"/>
    <col min="13" max="13" width="5.42578125" customWidth="1"/>
    <col min="14" max="14" width="11.42578125" customWidth="1"/>
  </cols>
  <sheetData>
    <row r="5" spans="1:21" x14ac:dyDescent="0.25">
      <c r="U5" s="19" t="s">
        <v>19</v>
      </c>
    </row>
    <row r="6" spans="1:21" x14ac:dyDescent="0.25">
      <c r="F6" s="28" t="s">
        <v>45</v>
      </c>
      <c r="G6" s="28"/>
      <c r="H6" s="28"/>
      <c r="I6" s="28"/>
      <c r="J6" s="28"/>
      <c r="K6" s="28"/>
      <c r="L6" s="28"/>
      <c r="M6" s="28"/>
      <c r="N6" s="28"/>
      <c r="U6" s="19" t="s">
        <v>14</v>
      </c>
    </row>
    <row r="7" spans="1:21" x14ac:dyDescent="0.25">
      <c r="F7" s="28"/>
      <c r="G7" s="28"/>
      <c r="H7" s="28"/>
      <c r="I7" s="28"/>
      <c r="J7" s="28"/>
      <c r="K7" s="28"/>
      <c r="L7" s="28"/>
      <c r="M7" s="28"/>
      <c r="N7" s="28"/>
      <c r="U7" s="19" t="s">
        <v>15</v>
      </c>
    </row>
    <row r="8" spans="1:21" x14ac:dyDescent="0.25">
      <c r="F8" s="28"/>
      <c r="G8" s="28"/>
      <c r="H8" s="28"/>
      <c r="I8" s="28"/>
      <c r="J8" s="28"/>
      <c r="K8" s="28"/>
      <c r="L8" s="28"/>
      <c r="M8" s="28"/>
      <c r="N8" s="28"/>
      <c r="U8" s="19" t="s">
        <v>16</v>
      </c>
    </row>
    <row r="9" spans="1:21" x14ac:dyDescent="0.25">
      <c r="U9" s="19" t="s">
        <v>17</v>
      </c>
    </row>
    <row r="10" spans="1:21" x14ac:dyDescent="0.25">
      <c r="F10" s="29" t="s">
        <v>12</v>
      </c>
      <c r="G10" s="29"/>
      <c r="I10" s="22">
        <v>0.5</v>
      </c>
      <c r="K10" s="29" t="s">
        <v>47</v>
      </c>
      <c r="L10" s="29"/>
      <c r="M10" s="4"/>
      <c r="N10" s="22">
        <v>200</v>
      </c>
      <c r="U10" s="19" t="s">
        <v>18</v>
      </c>
    </row>
    <row r="12" spans="1:21" x14ac:dyDescent="0.25">
      <c r="F12" s="4"/>
      <c r="G12" s="4"/>
      <c r="I12" s="4"/>
      <c r="K12" s="29" t="s">
        <v>48</v>
      </c>
      <c r="L12" s="29"/>
      <c r="N12" s="31">
        <v>5000</v>
      </c>
      <c r="O12" s="31"/>
    </row>
    <row r="16" spans="1:21" x14ac:dyDescent="0.25">
      <c r="A16" s="4"/>
      <c r="B16" s="4"/>
      <c r="C16" s="4"/>
      <c r="D16" s="4"/>
      <c r="E16" s="4"/>
    </row>
    <row r="17" spans="1:13" x14ac:dyDescent="0.25">
      <c r="A17" s="4"/>
      <c r="B17" s="4"/>
      <c r="C17" s="4"/>
      <c r="D17" s="4"/>
      <c r="E17" s="4"/>
      <c r="M17" s="19">
        <v>1</v>
      </c>
    </row>
    <row r="18" spans="1:13" x14ac:dyDescent="0.25">
      <c r="A18" s="4"/>
      <c r="B18" s="4"/>
      <c r="C18" s="4"/>
      <c r="D18" s="4"/>
      <c r="E18" s="4"/>
    </row>
    <row r="19" spans="1:13" x14ac:dyDescent="0.25">
      <c r="A19" s="4"/>
      <c r="B19" s="4"/>
      <c r="C19" s="4"/>
      <c r="D19" s="4"/>
      <c r="E19" s="4"/>
    </row>
    <row r="20" spans="1:13" x14ac:dyDescent="0.25">
      <c r="D20" s="19">
        <v>3</v>
      </c>
    </row>
    <row r="21" spans="1:13" x14ac:dyDescent="0.25">
      <c r="I21" s="4"/>
      <c r="J21" s="4"/>
      <c r="K21" s="4"/>
    </row>
    <row r="22" spans="1:13" x14ac:dyDescent="0.25">
      <c r="I22" s="4"/>
      <c r="J22" s="4"/>
      <c r="K22" s="4"/>
    </row>
    <row r="23" spans="1:13" x14ac:dyDescent="0.25">
      <c r="G23" s="19">
        <v>2</v>
      </c>
      <c r="I23" s="4"/>
      <c r="J23" s="4"/>
      <c r="K23" s="4"/>
    </row>
    <row r="24" spans="1:13" ht="23.45" customHeight="1" x14ac:dyDescent="0.25">
      <c r="I24" s="4"/>
      <c r="J24" s="4"/>
      <c r="K24" s="4"/>
    </row>
    <row r="25" spans="1:13" x14ac:dyDescent="0.25">
      <c r="G25" s="21" t="s">
        <v>13</v>
      </c>
      <c r="H25" s="4"/>
      <c r="I25" s="30" t="s">
        <v>18</v>
      </c>
      <c r="J25" s="30"/>
    </row>
    <row r="26" spans="1:13" x14ac:dyDescent="0.25">
      <c r="H26" s="4"/>
      <c r="L26" s="18"/>
    </row>
  </sheetData>
  <mergeCells count="6">
    <mergeCell ref="F6:N8"/>
    <mergeCell ref="F10:G10"/>
    <mergeCell ref="I25:J25"/>
    <mergeCell ref="K10:L10"/>
    <mergeCell ref="K12:L12"/>
    <mergeCell ref="N12:O12"/>
  </mergeCells>
  <dataValidations count="1">
    <dataValidation type="list" allowBlank="1" showInputMessage="1" showErrorMessage="1" sqref="I25:J25" xr:uid="{00000000-0002-0000-0400-000000000000}">
      <formula1>$U$6:$U$13</formula1>
    </dataValidation>
  </dataValidations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jecutarSubasta">
                <anchor moveWithCells="1" sizeWithCells="1">
                  <from>
                    <xdr:col>6</xdr:col>
                    <xdr:colOff>57150</xdr:colOff>
                    <xdr:row>13</xdr:row>
                    <xdr:rowOff>19050</xdr:rowOff>
                  </from>
                  <to>
                    <xdr:col>9</xdr:col>
                    <xdr:colOff>295275</xdr:colOff>
                    <xdr:row>16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10</xdr:col>
                    <xdr:colOff>523875</xdr:colOff>
                    <xdr:row>14</xdr:row>
                    <xdr:rowOff>38100</xdr:rowOff>
                  </from>
                  <to>
                    <xdr:col>12</xdr:col>
                    <xdr:colOff>123825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Group Box 8">
              <controlPr defaultSize="0" autoFill="0" autoPict="0">
                <anchor moveWithCells="1">
                  <from>
                    <xdr:col>10</xdr:col>
                    <xdr:colOff>295275</xdr:colOff>
                    <xdr:row>13</xdr:row>
                    <xdr:rowOff>104775</xdr:rowOff>
                  </from>
                  <to>
                    <xdr:col>13</xdr:col>
                    <xdr:colOff>47625</xdr:colOff>
                    <xdr:row>18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Option Button 10">
              <controlPr defaultSize="0" autoFill="0" autoLine="0" autoPict="0">
                <anchor moveWithCells="1">
                  <from>
                    <xdr:col>10</xdr:col>
                    <xdr:colOff>514350</xdr:colOff>
                    <xdr:row>16</xdr:row>
                    <xdr:rowOff>28575</xdr:rowOff>
                  </from>
                  <to>
                    <xdr:col>11</xdr:col>
                    <xdr:colOff>942975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Group Box 13">
              <controlPr defaultSize="0" autoFill="0" autoPict="0">
                <anchor moveWithCells="1">
                  <from>
                    <xdr:col>5</xdr:col>
                    <xdr:colOff>57150</xdr:colOff>
                    <xdr:row>18</xdr:row>
                    <xdr:rowOff>57150</xdr:rowOff>
                  </from>
                  <to>
                    <xdr:col>9</xdr:col>
                    <xdr:colOff>742950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Option Button 14">
              <controlPr defaultSize="0" autoFill="0" autoLine="0" autoPict="0">
                <anchor moveWithCells="1">
                  <from>
                    <xdr:col>5</xdr:col>
                    <xdr:colOff>352425</xdr:colOff>
                    <xdr:row>19</xdr:row>
                    <xdr:rowOff>85725</xdr:rowOff>
                  </from>
                  <to>
                    <xdr:col>9</xdr:col>
                    <xdr:colOff>600075</xdr:colOff>
                    <xdr:row>20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Option Button 15">
              <controlPr defaultSize="0" autoFill="0" autoLine="0" autoPict="0">
                <anchor moveWithCells="1">
                  <from>
                    <xdr:col>5</xdr:col>
                    <xdr:colOff>352425</xdr:colOff>
                    <xdr:row>21</xdr:row>
                    <xdr:rowOff>9525</xdr:rowOff>
                  </from>
                  <to>
                    <xdr:col>9</xdr:col>
                    <xdr:colOff>142875</xdr:colOff>
                    <xdr:row>22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bloques</vt:lpstr>
      <vt:lpstr>proyectosGeneracion</vt:lpstr>
      <vt:lpstr>ofertasCompra</vt:lpstr>
      <vt:lpstr>ofertasVenta</vt:lpstr>
      <vt:lpstr>EJECUTAR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RIGHTSIDE SAS</dc:creator>
  <cp:lastModifiedBy>RIGHTSIDE SAS</cp:lastModifiedBy>
  <dcterms:created xsi:type="dcterms:W3CDTF">2019-05-01T06:47:11Z</dcterms:created>
  <dcterms:modified xsi:type="dcterms:W3CDTF">2019-07-22T03:04:50Z</dcterms:modified>
</cp:coreProperties>
</file>